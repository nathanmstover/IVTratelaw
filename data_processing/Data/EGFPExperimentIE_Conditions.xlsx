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chen/Downloads/UROP Labs/Braatz Lab/"/>
    </mc:Choice>
  </mc:AlternateContent>
  <xr:revisionPtr revIDLastSave="0" documentId="8_{93D61E9D-01BD-B44A-B8B9-DAAF996262F7}" xr6:coauthVersionLast="47" xr6:coauthVersionMax="47" xr10:uidLastSave="{00000000-0000-0000-0000-000000000000}"/>
  <bookViews>
    <workbookView xWindow="0" yWindow="760" windowWidth="15660" windowHeight="17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  <c r="J13" i="1"/>
  <c r="J12" i="1"/>
  <c r="J11" i="1"/>
  <c r="J10" i="1"/>
  <c r="J9" i="1"/>
  <c r="J8" i="1"/>
  <c r="J7" i="1"/>
  <c r="I16" i="1"/>
  <c r="I15" i="1"/>
  <c r="I14" i="1"/>
  <c r="I13" i="1"/>
  <c r="I12" i="1"/>
  <c r="I11" i="1"/>
  <c r="I10" i="1"/>
  <c r="I9" i="1"/>
  <c r="I8" i="1"/>
  <c r="I7" i="1"/>
  <c r="I6" i="1"/>
  <c r="J6" i="1"/>
  <c r="J5" i="1"/>
  <c r="J4" i="1"/>
  <c r="J3" i="1"/>
  <c r="J2" i="1"/>
  <c r="I5" i="1"/>
  <c r="I4" i="1"/>
  <c r="I3" i="1"/>
  <c r="I2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<sst xmlns="http://schemas.openxmlformats.org/spreadsheetml/2006/main" count="10" uniqueCount="10">
  <si>
    <t>Condition #</t>
  </si>
  <si>
    <t>Replicate #</t>
  </si>
  <si>
    <t>P1: DNA  (µg/µL)</t>
  </si>
  <si>
    <t>P2: T7 RNAP (U/µL)</t>
  </si>
  <si>
    <t>Time (min)</t>
  </si>
  <si>
    <t>ATP</t>
  </si>
  <si>
    <t>UTP</t>
  </si>
  <si>
    <t>CTP</t>
  </si>
  <si>
    <t>GTP</t>
  </si>
  <si>
    <t>Masses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</si>
</sst>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tprod-my.sharepoint.com/personal/julichen_mit_edu/Documents/EGFPExperimentsIE_Parsed.xlsx" TargetMode="External"/><Relationship Id="rId1" Type="http://schemas.openxmlformats.org/officeDocument/2006/relationships/externalLinkPath" Target="https://mitprod-my.sharepoint.com/personal/julichen_mit_edu/Documents/EGFPExperimentsIE_Par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IE1_experiment"/>
      <sheetName val="IE1_data"/>
      <sheetName val="IE2_experiment"/>
      <sheetName val="IE2_data"/>
      <sheetName val="IE3_experiment"/>
      <sheetName val="IE3_data "/>
      <sheetName val="IE4_experiment"/>
      <sheetName val="IE4_data"/>
      <sheetName val="IE5_experiment"/>
      <sheetName val="IE5_data"/>
      <sheetName val="IE6_experiment"/>
      <sheetName val="IE6_data"/>
    </sheetNames>
    <sheetDataSet>
      <sheetData sheetId="0"/>
      <sheetData sheetId="1"/>
      <sheetData sheetId="2">
        <row r="15">
          <cell r="E15">
            <v>5.1209224272669944</v>
          </cell>
          <cell r="F15">
            <v>2.8125728701088595</v>
          </cell>
          <cell r="G15">
            <v>0</v>
          </cell>
          <cell r="H15">
            <v>0</v>
          </cell>
          <cell r="I15">
            <v>0</v>
          </cell>
          <cell r="J15">
            <v>4.736334038196893</v>
          </cell>
          <cell r="K15">
            <v>3.562783204108348</v>
          </cell>
          <cell r="L15">
            <v>0</v>
          </cell>
          <cell r="M15">
            <v>2.3660175208941698</v>
          </cell>
          <cell r="O15">
            <v>4.9423555916013333</v>
          </cell>
          <cell r="P15">
            <v>2.7050494127541977</v>
          </cell>
          <cell r="Q15">
            <v>0</v>
          </cell>
          <cell r="R15">
            <v>0.63696374395482269</v>
          </cell>
          <cell r="T15">
            <v>4.9578396441766888</v>
          </cell>
          <cell r="U15">
            <v>2.8008613183347846</v>
          </cell>
          <cell r="V15">
            <v>0</v>
          </cell>
          <cell r="W15">
            <v>0.82294683830277926</v>
          </cell>
          <cell r="X15">
            <v>0.46552420398653899</v>
          </cell>
        </row>
        <row r="16">
          <cell r="E16">
            <v>5.1591181551454657</v>
          </cell>
          <cell r="F16">
            <v>2.6836831281362254</v>
          </cell>
          <cell r="G16">
            <v>1.2868792673229317</v>
          </cell>
          <cell r="H16">
            <v>0.65638322959225637</v>
          </cell>
          <cell r="I16">
            <v>0</v>
          </cell>
          <cell r="J16">
            <v>4.8492961433893873</v>
          </cell>
          <cell r="K16">
            <v>3.5381774242271682</v>
          </cell>
          <cell r="L16">
            <v>2.8468311348303299</v>
          </cell>
          <cell r="M16">
            <v>2.5958554022757028</v>
          </cell>
          <cell r="O16">
            <v>4.8930269442191578</v>
          </cell>
          <cell r="P16">
            <v>2.5658298038508907</v>
          </cell>
          <cell r="Q16">
            <v>1.3282232435192696</v>
          </cell>
          <cell r="R16">
            <v>0.73784626475624049</v>
          </cell>
          <cell r="S16">
            <v>0</v>
          </cell>
          <cell r="T16">
            <v>4.8093587179064787</v>
          </cell>
          <cell r="U16">
            <v>2.762962370272751</v>
          </cell>
          <cell r="V16">
            <v>1.3759960464076437</v>
          </cell>
          <cell r="W16">
            <v>0.8761941966912199</v>
          </cell>
          <cell r="X16">
            <v>0.5839945402772222</v>
          </cell>
        </row>
        <row r="17">
          <cell r="E17">
            <v>5.0477918231923011</v>
          </cell>
          <cell r="F17">
            <v>2.9098675587485263</v>
          </cell>
          <cell r="G17">
            <v>1.1636403520798486</v>
          </cell>
          <cell r="H17">
            <v>0</v>
          </cell>
          <cell r="I17">
            <v>0</v>
          </cell>
          <cell r="J17">
            <v>4.8049541838686949</v>
          </cell>
          <cell r="K17">
            <v>3.8943523646494147</v>
          </cell>
          <cell r="L17">
            <v>2.6300446413587091</v>
          </cell>
          <cell r="M17">
            <v>2.3669855335145842</v>
          </cell>
          <cell r="O17">
            <v>5.0180024631281723</v>
          </cell>
          <cell r="P17">
            <v>2.7329452404553782</v>
          </cell>
          <cell r="Q17">
            <v>1.1119593884232977</v>
          </cell>
          <cell r="R17">
            <v>0</v>
          </cell>
          <cell r="S17">
            <v>0</v>
          </cell>
          <cell r="T17">
            <v>5.0669427905772713</v>
          </cell>
          <cell r="U17">
            <v>3.0527870472783758</v>
          </cell>
          <cell r="V17">
            <v>1.315526792648201</v>
          </cell>
          <cell r="W17">
            <v>0.71143294189631245</v>
          </cell>
          <cell r="X17">
            <v>0.48584755136140073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11.33203125" customWidth="1"/>
    <col min="2" max="2" width="10.83203125" customWidth="1"/>
    <col min="3" max="3" width="15.5" customWidth="1"/>
    <col min="4" max="4" width="17.6640625" customWidth="1"/>
    <col min="5" max="5" width="11.6640625" customWidth="1"/>
    <col min="6" max="6" width="7.5" customWidth="1"/>
    <col min="7" max="10" width="11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>
        <v>1</v>
      </c>
      <c r="C2">
        <v>3.7624999999999999E-2</v>
      </c>
      <c r="D2">
        <v>31</v>
      </c>
      <c r="E2">
        <v>0</v>
      </c>
      <c r="F2">
        <v>6.09</v>
      </c>
      <c r="G2">
        <f>[1]IE1_data!$E$15</f>
        <v>5.1209224272669944</v>
      </c>
      <c r="H2">
        <f>[1]IE1_data!$I$15</f>
        <v>0</v>
      </c>
      <c r="I2">
        <f>[1]IE1_data!$O$15</f>
        <v>4.9423555916013333</v>
      </c>
      <c r="J2">
        <f>[1]IE1_data!$T$15</f>
        <v>4.9578396441766888</v>
      </c>
    </row>
    <row r="3" spans="1:10" x14ac:dyDescent="0.2">
      <c r="A3">
        <v>1</v>
      </c>
      <c r="B3">
        <v>1</v>
      </c>
      <c r="C3">
        <v>3.7624999999999999E-2</v>
      </c>
      <c r="D3">
        <v>31</v>
      </c>
      <c r="E3">
        <v>9.9499999999999993</v>
      </c>
      <c r="F3">
        <v>6.05</v>
      </c>
      <c r="G3">
        <f>[1]IE1_data!$F$15</f>
        <v>2.8125728701088595</v>
      </c>
      <c r="H3">
        <f>[1]IE1_data!$J$15</f>
        <v>4.736334038196893</v>
      </c>
      <c r="I3">
        <f>[1]IE1_data!$P$15</f>
        <v>2.7050494127541977</v>
      </c>
      <c r="J3">
        <f>[1]IE1_data!$U$15</f>
        <v>2.8008613183347846</v>
      </c>
    </row>
    <row r="4" spans="1:10" x14ac:dyDescent="0.2">
      <c r="A4">
        <v>1</v>
      </c>
      <c r="B4">
        <v>1</v>
      </c>
      <c r="C4">
        <v>3.7624999999999999E-2</v>
      </c>
      <c r="D4">
        <v>31</v>
      </c>
      <c r="E4">
        <v>19.916666666666664</v>
      </c>
      <c r="F4">
        <v>6.08</v>
      </c>
      <c r="G4">
        <f>[1]IE1_data!$G$15</f>
        <v>0</v>
      </c>
      <c r="H4">
        <f>[1]IE1_data!$K$15</f>
        <v>3.562783204108348</v>
      </c>
      <c r="I4">
        <f>[1]IE1_data!$Q$15</f>
        <v>0</v>
      </c>
      <c r="J4">
        <f>[1]IE1_data!$V$15</f>
        <v>0</v>
      </c>
    </row>
    <row r="5" spans="1:10" x14ac:dyDescent="0.2">
      <c r="A5">
        <v>1</v>
      </c>
      <c r="B5">
        <v>1</v>
      </c>
      <c r="C5">
        <v>3.7624999999999999E-2</v>
      </c>
      <c r="D5">
        <v>31</v>
      </c>
      <c r="E5">
        <v>30.766666666666666</v>
      </c>
      <c r="F5">
        <v>5.91</v>
      </c>
      <c r="G5">
        <f>[1]IE1_data!$H$15</f>
        <v>0</v>
      </c>
      <c r="H5">
        <f>[1]IE1_data!$L$15</f>
        <v>0</v>
      </c>
      <c r="I5">
        <f>[1]IE1_data!$R$15</f>
        <v>0.63696374395482269</v>
      </c>
      <c r="J5">
        <f>[1]IE1_data!$W$15</f>
        <v>0.82294683830277926</v>
      </c>
    </row>
    <row r="6" spans="1:10" x14ac:dyDescent="0.2">
      <c r="A6">
        <v>1</v>
      </c>
      <c r="B6">
        <v>1</v>
      </c>
      <c r="C6">
        <v>3.7624999999999999E-2</v>
      </c>
      <c r="D6">
        <v>31</v>
      </c>
      <c r="E6">
        <v>39.949999999999996</v>
      </c>
      <c r="F6">
        <v>6</v>
      </c>
      <c r="G6">
        <f>[1]IE1_data!$I$15</f>
        <v>0</v>
      </c>
      <c r="H6">
        <f>[1]IE1_data!$M$15</f>
        <v>2.3660175208941698</v>
      </c>
      <c r="I6">
        <f>[1]IE1_data!$S$16</f>
        <v>0</v>
      </c>
      <c r="J6">
        <f>[1]IE1_data!$X$15</f>
        <v>0.46552420398653899</v>
      </c>
    </row>
    <row r="7" spans="1:10" x14ac:dyDescent="0.2">
      <c r="A7">
        <v>1</v>
      </c>
      <c r="B7">
        <v>2</v>
      </c>
      <c r="C7">
        <v>3.7624999999999999E-2</v>
      </c>
      <c r="D7">
        <v>31</v>
      </c>
      <c r="E7">
        <v>0</v>
      </c>
      <c r="F7">
        <v>5.94</v>
      </c>
      <c r="G7">
        <f>[1]IE1_data!$E$16</f>
        <v>5.1591181551454657</v>
      </c>
      <c r="H7">
        <f>[1]IE1_data!$I$16</f>
        <v>0</v>
      </c>
      <c r="I7">
        <f>[1]IE1_data!$O$16</f>
        <v>4.8930269442191578</v>
      </c>
      <c r="J7">
        <f>[1]IE1_data!$T$16</f>
        <v>4.8093587179064787</v>
      </c>
    </row>
    <row r="8" spans="1:10" x14ac:dyDescent="0.2">
      <c r="A8">
        <v>1</v>
      </c>
      <c r="B8">
        <v>2</v>
      </c>
      <c r="C8">
        <v>3.7624999999999999E-2</v>
      </c>
      <c r="D8">
        <v>31</v>
      </c>
      <c r="E8">
        <v>10.149999999999999</v>
      </c>
      <c r="F8">
        <v>6.11</v>
      </c>
      <c r="G8">
        <f>[1]IE1_data!$F$16</f>
        <v>2.6836831281362254</v>
      </c>
      <c r="H8">
        <f>[1]IE1_data!$J$16</f>
        <v>4.8492961433893873</v>
      </c>
      <c r="I8">
        <f>[1]IE1_data!$P$16</f>
        <v>2.5658298038508907</v>
      </c>
      <c r="J8">
        <f>[1]IE1_data!$U$16</f>
        <v>2.762962370272751</v>
      </c>
    </row>
    <row r="9" spans="1:10" x14ac:dyDescent="0.2">
      <c r="A9">
        <v>1</v>
      </c>
      <c r="B9">
        <v>2</v>
      </c>
      <c r="C9">
        <v>3.7624999999999999E-2</v>
      </c>
      <c r="D9">
        <v>31</v>
      </c>
      <c r="E9">
        <v>19.899999999999999</v>
      </c>
      <c r="F9">
        <v>5.95</v>
      </c>
      <c r="G9">
        <f>[1]IE1_data!$G$16</f>
        <v>1.2868792673229317</v>
      </c>
      <c r="H9">
        <f>[1]IE1_data!$K$16</f>
        <v>3.5381774242271682</v>
      </c>
      <c r="I9">
        <f>[1]IE1_data!$Q$16</f>
        <v>1.3282232435192696</v>
      </c>
      <c r="J9">
        <f>[1]IE1_data!$V$16</f>
        <v>1.3759960464076437</v>
      </c>
    </row>
    <row r="10" spans="1:10" x14ac:dyDescent="0.2">
      <c r="A10">
        <v>1</v>
      </c>
      <c r="B10">
        <v>2</v>
      </c>
      <c r="C10">
        <v>3.7624999999999999E-2</v>
      </c>
      <c r="D10">
        <v>31</v>
      </c>
      <c r="E10">
        <v>30.216666666666665</v>
      </c>
      <c r="F10">
        <v>5.83</v>
      </c>
      <c r="G10">
        <f>[1]IE1_data!$H$16</f>
        <v>0.65638322959225637</v>
      </c>
      <c r="H10">
        <f>[1]IE1_data!$L$16</f>
        <v>2.8468311348303299</v>
      </c>
      <c r="I10">
        <f>[1]IE1_data!$R$16</f>
        <v>0.73784626475624049</v>
      </c>
      <c r="J10">
        <f>[1]IE1_data!$W$16</f>
        <v>0.8761941966912199</v>
      </c>
    </row>
    <row r="11" spans="1:10" x14ac:dyDescent="0.2">
      <c r="A11">
        <v>1</v>
      </c>
      <c r="B11">
        <v>2</v>
      </c>
      <c r="C11">
        <v>3.7624999999999999E-2</v>
      </c>
      <c r="D11">
        <v>31</v>
      </c>
      <c r="E11">
        <v>40.016666666666666</v>
      </c>
      <c r="F11">
        <v>5.98</v>
      </c>
      <c r="G11">
        <f>[1]IE1_data!$I$16</f>
        <v>0</v>
      </c>
      <c r="H11">
        <f>[1]IE1_data!$M$16</f>
        <v>2.5958554022757028</v>
      </c>
      <c r="I11">
        <f>[1]IE1_data!$S$16</f>
        <v>0</v>
      </c>
      <c r="J11">
        <f>[1]IE1_data!$X$16</f>
        <v>0.5839945402772222</v>
      </c>
    </row>
    <row r="12" spans="1:10" x14ac:dyDescent="0.2">
      <c r="A12">
        <v>1</v>
      </c>
      <c r="B12">
        <v>3</v>
      </c>
      <c r="C12">
        <v>3.7624999999999999E-2</v>
      </c>
      <c r="D12">
        <v>31</v>
      </c>
      <c r="E12">
        <v>0</v>
      </c>
      <c r="F12">
        <v>6.04</v>
      </c>
      <c r="G12">
        <f>[1]IE1_data!$E$17</f>
        <v>5.0477918231923011</v>
      </c>
      <c r="H12">
        <f>[1]IE1_data!$I$17</f>
        <v>0</v>
      </c>
      <c r="I12">
        <f>[1]IE1_data!$O$17</f>
        <v>5.0180024631281723</v>
      </c>
      <c r="J12">
        <f>[1]IE1_data!$T$17</f>
        <v>5.0669427905772713</v>
      </c>
    </row>
    <row r="13" spans="1:10" x14ac:dyDescent="0.2">
      <c r="A13">
        <v>1</v>
      </c>
      <c r="B13">
        <v>3</v>
      </c>
      <c r="C13">
        <v>3.7624999999999999E-2</v>
      </c>
      <c r="D13">
        <v>31</v>
      </c>
      <c r="E13">
        <v>9.65</v>
      </c>
      <c r="F13">
        <v>6.07</v>
      </c>
      <c r="G13">
        <f>[1]IE1_data!$F$17</f>
        <v>2.9098675587485263</v>
      </c>
      <c r="H13">
        <f>[1]IE1_data!$J$17</f>
        <v>4.8049541838686949</v>
      </c>
      <c r="I13">
        <f>[1]IE1_data!$P$17</f>
        <v>2.7329452404553782</v>
      </c>
      <c r="J13">
        <f>[1]IE1_data!$U$17</f>
        <v>3.0527870472783758</v>
      </c>
    </row>
    <row r="14" spans="1:10" x14ac:dyDescent="0.2">
      <c r="A14">
        <v>1</v>
      </c>
      <c r="B14">
        <v>3</v>
      </c>
      <c r="C14">
        <v>3.7624999999999999E-2</v>
      </c>
      <c r="D14">
        <v>31</v>
      </c>
      <c r="E14">
        <v>19.766666666666669</v>
      </c>
      <c r="F14">
        <v>5.96</v>
      </c>
      <c r="G14">
        <f>[1]IE1_data!$G$17</f>
        <v>1.1636403520798486</v>
      </c>
      <c r="H14">
        <f>[1]IE1_data!$K$17</f>
        <v>3.8943523646494147</v>
      </c>
      <c r="I14">
        <f>[1]IE1_data!$Q$17</f>
        <v>1.1119593884232977</v>
      </c>
      <c r="J14">
        <f>[1]IE1_data!$V$17</f>
        <v>1.315526792648201</v>
      </c>
    </row>
    <row r="15" spans="1:10" x14ac:dyDescent="0.2">
      <c r="A15">
        <v>1</v>
      </c>
      <c r="B15">
        <v>3</v>
      </c>
      <c r="C15">
        <v>3.7624999999999999E-2</v>
      </c>
      <c r="D15">
        <v>31</v>
      </c>
      <c r="E15">
        <v>29.666666666666668</v>
      </c>
      <c r="F15">
        <v>6.12</v>
      </c>
      <c r="G15">
        <f>[1]IE1_data!$H$17</f>
        <v>0</v>
      </c>
      <c r="H15">
        <f>[1]IE1_data!$L$17</f>
        <v>2.6300446413587091</v>
      </c>
      <c r="I15">
        <f>[1]IE1_data!$R$17</f>
        <v>0</v>
      </c>
      <c r="J15">
        <f>[1]IE1_data!$W$17</f>
        <v>0.71143294189631245</v>
      </c>
    </row>
    <row r="16" spans="1:10" x14ac:dyDescent="0.2">
      <c r="A16">
        <v>1</v>
      </c>
      <c r="B16">
        <v>3</v>
      </c>
      <c r="C16">
        <v>3.7624999999999999E-2</v>
      </c>
      <c r="D16">
        <v>31</v>
      </c>
      <c r="E16">
        <v>39.699999999999996</v>
      </c>
      <c r="F16">
        <v>5.86</v>
      </c>
      <c r="G16">
        <f>[1]IE1_data!$I$17</f>
        <v>0</v>
      </c>
      <c r="H16">
        <f>[1]IE1_data!$M$17</f>
        <v>2.3669855335145842</v>
      </c>
      <c r="I16">
        <f>[1]IE1_data!$S$17</f>
        <v>0</v>
      </c>
      <c r="J16">
        <f>[1]IE1_data!$X$17</f>
        <v>0.48584755136140073</v>
      </c>
    </row>
    <row r="17" spans="1:10" x14ac:dyDescent="0.2">
      <c r="A17">
        <v>2</v>
      </c>
      <c r="B17">
        <v>1</v>
      </c>
      <c r="C17">
        <v>3.7624999999999999E-2</v>
      </c>
      <c r="D17">
        <v>13</v>
      </c>
      <c r="E17">
        <v>0</v>
      </c>
      <c r="F17">
        <v>6.27</v>
      </c>
      <c r="G17">
        <v>5.3395914338205053</v>
      </c>
      <c r="H17">
        <v>5.0365293860974063</v>
      </c>
      <c r="I17">
        <v>5.0520032441200327</v>
      </c>
      <c r="J17">
        <v>5.041514602405103</v>
      </c>
    </row>
    <row r="18" spans="1:10" x14ac:dyDescent="0.2">
      <c r="A18">
        <v>2</v>
      </c>
      <c r="B18">
        <v>1</v>
      </c>
      <c r="C18">
        <v>3.7624999999999999E-2</v>
      </c>
      <c r="D18">
        <v>13</v>
      </c>
      <c r="E18">
        <v>10.149999999999999</v>
      </c>
      <c r="F18">
        <v>5.88</v>
      </c>
      <c r="G18">
        <v>3.5877002385587762</v>
      </c>
      <c r="H18">
        <v>4.0468459034001274</v>
      </c>
      <c r="I18">
        <v>3.6229899972965667</v>
      </c>
      <c r="J18">
        <v>3.8895818134751612</v>
      </c>
    </row>
    <row r="19" spans="1:10" x14ac:dyDescent="0.2">
      <c r="A19">
        <v>2</v>
      </c>
      <c r="B19">
        <v>1</v>
      </c>
      <c r="C19">
        <v>3.7624999999999999E-2</v>
      </c>
      <c r="D19">
        <v>13</v>
      </c>
      <c r="E19">
        <v>19.933333333333334</v>
      </c>
      <c r="F19">
        <v>5.81</v>
      </c>
      <c r="G19">
        <v>2.6716553785406782</v>
      </c>
      <c r="H19">
        <v>3.5759701943409534</v>
      </c>
      <c r="I19">
        <v>2.6336090835360908</v>
      </c>
      <c r="J19">
        <v>2.8979238933471398</v>
      </c>
    </row>
    <row r="20" spans="1:10" x14ac:dyDescent="0.2">
      <c r="A20">
        <v>2</v>
      </c>
      <c r="B20">
        <v>1</v>
      </c>
      <c r="C20">
        <v>3.7624999999999999E-2</v>
      </c>
      <c r="D20">
        <v>13</v>
      </c>
      <c r="E20">
        <v>29.766666666666666</v>
      </c>
      <c r="F20">
        <v>5.89</v>
      </c>
      <c r="G20">
        <v>2.0233019825056902</v>
      </c>
      <c r="H20">
        <v>3.2222052159903334</v>
      </c>
      <c r="I20">
        <v>2.0010561412994505</v>
      </c>
      <c r="J20">
        <v>2.1058743793095336</v>
      </c>
    </row>
    <row r="21" spans="1:10" x14ac:dyDescent="0.2">
      <c r="A21">
        <v>2</v>
      </c>
      <c r="B21">
        <v>1</v>
      </c>
      <c r="C21">
        <v>3.7624999999999999E-2</v>
      </c>
      <c r="D21">
        <v>13</v>
      </c>
      <c r="E21">
        <v>39.966666666666669</v>
      </c>
      <c r="F21">
        <v>5.9</v>
      </c>
      <c r="G21">
        <v>1.2503068359428555</v>
      </c>
      <c r="H21">
        <v>2.5845816131306019</v>
      </c>
      <c r="I21">
        <v>1.2314763749962452</v>
      </c>
      <c r="J21">
        <v>1.5098279716659218</v>
      </c>
    </row>
    <row r="22" spans="1:10" x14ac:dyDescent="0.2">
      <c r="A22">
        <v>2</v>
      </c>
      <c r="B22">
        <v>2</v>
      </c>
      <c r="C22">
        <v>3.7624999999999999E-2</v>
      </c>
      <c r="D22">
        <v>13</v>
      </c>
      <c r="E22">
        <v>0</v>
      </c>
      <c r="F22">
        <v>5.93</v>
      </c>
      <c r="G22">
        <v>5.3400542926869399</v>
      </c>
      <c r="H22">
        <v>5.0271177793441417</v>
      </c>
      <c r="I22">
        <v>5.0797608963383505</v>
      </c>
      <c r="J22">
        <v>4.9336107123526238</v>
      </c>
    </row>
    <row r="23" spans="1:10" x14ac:dyDescent="0.2">
      <c r="A23">
        <v>2</v>
      </c>
      <c r="B23">
        <v>2</v>
      </c>
      <c r="C23">
        <v>3.7624999999999999E-2</v>
      </c>
      <c r="D23">
        <v>13</v>
      </c>
      <c r="E23">
        <v>9.7666666666666657</v>
      </c>
      <c r="F23">
        <v>5.86</v>
      </c>
      <c r="G23">
        <v>3.7477375305053613</v>
      </c>
      <c r="H23">
        <v>3.9843842513342067</v>
      </c>
      <c r="I23">
        <v>3.5925072842509986</v>
      </c>
      <c r="J23">
        <v>3.7764243522462531</v>
      </c>
    </row>
    <row r="24" spans="1:10" x14ac:dyDescent="0.2">
      <c r="A24">
        <v>2</v>
      </c>
      <c r="B24">
        <v>2</v>
      </c>
      <c r="C24">
        <v>3.7624999999999999E-2</v>
      </c>
      <c r="D24">
        <v>13</v>
      </c>
      <c r="E24">
        <v>20.183333333333334</v>
      </c>
      <c r="F24">
        <v>5.89</v>
      </c>
      <c r="G24">
        <v>2.7565044284186571</v>
      </c>
      <c r="H24">
        <v>3.4786520323565941</v>
      </c>
      <c r="I24">
        <v>3.0643621399176961</v>
      </c>
      <c r="J24">
        <v>3.003965829666063</v>
      </c>
    </row>
    <row r="25" spans="1:10" x14ac:dyDescent="0.2">
      <c r="A25">
        <v>2</v>
      </c>
      <c r="B25">
        <v>2</v>
      </c>
      <c r="C25">
        <v>3.7624999999999999E-2</v>
      </c>
      <c r="D25">
        <v>13</v>
      </c>
      <c r="E25">
        <v>30.200000000000003</v>
      </c>
      <c r="F25">
        <v>5.91</v>
      </c>
      <c r="G25">
        <v>2.0796347582878614</v>
      </c>
      <c r="H25">
        <v>3.1691189205518078</v>
      </c>
      <c r="I25">
        <v>1.9601297648012976</v>
      </c>
      <c r="J25">
        <v>2.1745614571811829</v>
      </c>
    </row>
    <row r="26" spans="1:10" x14ac:dyDescent="0.2">
      <c r="A26">
        <v>2</v>
      </c>
      <c r="B26">
        <v>2</v>
      </c>
      <c r="C26">
        <v>3.7624999999999999E-2</v>
      </c>
      <c r="D26">
        <v>13</v>
      </c>
      <c r="E26">
        <v>39.933333333333337</v>
      </c>
      <c r="F26">
        <v>5.91</v>
      </c>
      <c r="G26">
        <v>1.4245008089061943</v>
      </c>
      <c r="H26">
        <v>2.7185218004229181</v>
      </c>
      <c r="I26">
        <v>1.4804469676489143</v>
      </c>
      <c r="J26">
        <v>1.6296754759607464</v>
      </c>
    </row>
    <row r="27" spans="1:10" x14ac:dyDescent="0.2">
      <c r="A27">
        <v>2</v>
      </c>
      <c r="B27">
        <v>3</v>
      </c>
      <c r="C27">
        <v>3.7624999999999999E-2</v>
      </c>
      <c r="D27">
        <v>13</v>
      </c>
      <c r="E27">
        <v>0</v>
      </c>
      <c r="F27">
        <v>6.16</v>
      </c>
      <c r="G27">
        <v>5.319283775261181</v>
      </c>
      <c r="H27">
        <v>4.9951465109253856</v>
      </c>
      <c r="I27">
        <v>4.9915520711303358</v>
      </c>
      <c r="J27">
        <v>5.0764963641070295</v>
      </c>
    </row>
    <row r="28" spans="1:10" x14ac:dyDescent="0.2">
      <c r="A28">
        <v>2</v>
      </c>
      <c r="B28">
        <v>3</v>
      </c>
      <c r="C28">
        <v>3.7624999999999999E-2</v>
      </c>
      <c r="D28">
        <v>13</v>
      </c>
      <c r="E28">
        <v>9.9666666666666668</v>
      </c>
      <c r="F28">
        <v>5.99</v>
      </c>
      <c r="G28">
        <v>3.928873289643259</v>
      </c>
      <c r="H28">
        <v>4.3781170073507205</v>
      </c>
      <c r="I28">
        <v>3.8863680874710882</v>
      </c>
      <c r="J28">
        <v>4.1621678864754195</v>
      </c>
    </row>
    <row r="29" spans="1:10" x14ac:dyDescent="0.2">
      <c r="A29">
        <v>2</v>
      </c>
      <c r="B29">
        <v>3</v>
      </c>
      <c r="C29">
        <v>3.7624999999999999E-2</v>
      </c>
      <c r="D29">
        <v>13</v>
      </c>
      <c r="E29">
        <v>19.883333333333333</v>
      </c>
      <c r="F29">
        <v>5.89</v>
      </c>
      <c r="G29">
        <v>2.502231484274315</v>
      </c>
      <c r="H29">
        <v>3.3186104118417079</v>
      </c>
      <c r="I29">
        <v>2.3895527319696015</v>
      </c>
      <c r="J29">
        <v>2.7434400960158145</v>
      </c>
    </row>
    <row r="30" spans="1:10" x14ac:dyDescent="0.2">
      <c r="A30">
        <v>2</v>
      </c>
      <c r="B30">
        <v>3</v>
      </c>
      <c r="C30">
        <v>3.7624999999999999E-2</v>
      </c>
      <c r="D30">
        <v>13</v>
      </c>
      <c r="E30">
        <v>29.75</v>
      </c>
      <c r="F30">
        <v>5.91</v>
      </c>
      <c r="G30">
        <v>1.8999698373961449</v>
      </c>
      <c r="H30">
        <v>2.9815433155439202</v>
      </c>
      <c r="I30">
        <v>1.8696284281036919</v>
      </c>
      <c r="J30">
        <v>2.1656611677217428</v>
      </c>
    </row>
    <row r="31" spans="1:10" x14ac:dyDescent="0.2">
      <c r="A31">
        <v>2</v>
      </c>
      <c r="B31">
        <v>3</v>
      </c>
      <c r="C31">
        <v>3.7624999999999999E-2</v>
      </c>
      <c r="D31">
        <v>13</v>
      </c>
      <c r="E31">
        <v>39.85</v>
      </c>
      <c r="F31">
        <v>5.92</v>
      </c>
      <c r="G31">
        <v>1.3513811730510845</v>
      </c>
      <c r="H31">
        <v>2.7463444433256132</v>
      </c>
      <c r="I31">
        <v>1.3592610615481662</v>
      </c>
      <c r="J31">
        <v>1.6058155460899441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 Chen</cp:lastModifiedBy>
  <dcterms:created xsi:type="dcterms:W3CDTF">2024-07-11T17:01:18Z</dcterms:created>
  <dcterms:modified xsi:type="dcterms:W3CDTF">2024-07-11T17:48:36Z</dcterms:modified>
</cp:coreProperties>
</file>